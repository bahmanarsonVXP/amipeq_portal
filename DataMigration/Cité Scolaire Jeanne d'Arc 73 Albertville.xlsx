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lex\COMMERCIAUX\LICTEVOUT\DEPARTEMENT 73\CITE SCOLAIRE JEANNE D'ARC\"/>
    </mc:Choice>
  </mc:AlternateContent>
  <xr:revisionPtr revIDLastSave="0" documentId="13_ncr:1_{2958F154-C7A2-4060-92A8-F5F28F2A69E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2" sheetId="2" r:id="rId1"/>
    <sheet name="Feuil3" sheetId="3" r:id="rId2"/>
  </sheets>
  <definedNames>
    <definedName name="_xlnm.Print_Area" localSheetId="0">Feuil2!$A$1:$H$52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2" l="1"/>
  <c r="G55" i="2" l="1"/>
  <c r="A55" i="2"/>
  <c r="C55" i="2"/>
  <c r="D55" i="2"/>
  <c r="E55" i="2"/>
  <c r="F55" i="2"/>
  <c r="Q55" i="2"/>
  <c r="R55" i="2"/>
  <c r="U55" i="2"/>
  <c r="V55" i="2"/>
  <c r="W55" i="2"/>
  <c r="S55" i="2"/>
  <c r="T55" i="2"/>
</calcChain>
</file>

<file path=xl/sharedStrings.xml><?xml version="1.0" encoding="utf-8"?>
<sst xmlns="http://schemas.openxmlformats.org/spreadsheetml/2006/main" count="88" uniqueCount="85">
  <si>
    <t>TELEPHONE</t>
  </si>
  <si>
    <t>Tél direct</t>
  </si>
  <si>
    <t>Portable</t>
  </si>
  <si>
    <t>Email</t>
  </si>
  <si>
    <t>Poste occupé</t>
  </si>
  <si>
    <t>Fax</t>
  </si>
  <si>
    <t>Adresse</t>
  </si>
  <si>
    <t>COORDONNEES DE L'ENTREPRISE</t>
  </si>
  <si>
    <t>Standard</t>
  </si>
  <si>
    <t>COORDONNEES DU CONTACT</t>
  </si>
  <si>
    <r>
      <rPr>
        <b/>
        <sz val="14"/>
        <rFont val="Calibri"/>
        <family val="2"/>
      </rPr>
      <t xml:space="preserve">        FICHE DE PROSPECTION     </t>
    </r>
    <r>
      <rPr>
        <sz val="14"/>
        <rFont val="Calibri"/>
        <family val="2"/>
      </rPr>
      <t xml:space="preserve">     </t>
    </r>
  </si>
  <si>
    <t>Nbre de sites</t>
  </si>
  <si>
    <r>
      <t>COMMERCIAL :</t>
    </r>
    <r>
      <rPr>
        <b/>
        <sz val="10"/>
        <rFont val="Calibri"/>
        <family val="2"/>
      </rPr>
      <t xml:space="preserve"> </t>
    </r>
  </si>
  <si>
    <t xml:space="preserve">Date : </t>
  </si>
  <si>
    <r>
      <t>A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M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I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P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E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Q</t>
    </r>
  </si>
  <si>
    <t>Prosp</t>
  </si>
  <si>
    <t>MOIS/ANNEE</t>
  </si>
  <si>
    <t>N° Société</t>
  </si>
  <si>
    <t>CLIENTS</t>
  </si>
  <si>
    <t>VILLE</t>
  </si>
  <si>
    <t>Titre</t>
  </si>
  <si>
    <t>CONTACT</t>
  </si>
  <si>
    <t>N° DEVIS</t>
  </si>
  <si>
    <t>date devis</t>
  </si>
  <si>
    <t>OFFRE N° 1</t>
  </si>
  <si>
    <t>OFFRE N° 2</t>
  </si>
  <si>
    <t>NORME</t>
  </si>
  <si>
    <t>commentaires</t>
  </si>
  <si>
    <t>RESULTAT</t>
  </si>
  <si>
    <t>date retour contrat</t>
  </si>
  <si>
    <t>Date Relance</t>
  </si>
  <si>
    <t>Adresse Ligne 1</t>
  </si>
  <si>
    <t>Adresse Ligne 2</t>
  </si>
  <si>
    <t>CP</t>
  </si>
  <si>
    <t>TELEPHONE2</t>
  </si>
  <si>
    <t xml:space="preserve">N° DE SOCIETE : </t>
  </si>
  <si>
    <t>Nom du/des
contact(s)</t>
  </si>
  <si>
    <r>
      <t>PROSPECTION :</t>
    </r>
    <r>
      <rPr>
        <b/>
        <sz val="10"/>
        <rFont val="Calibri"/>
        <family val="2"/>
      </rPr>
      <t xml:space="preserve"> </t>
    </r>
  </si>
  <si>
    <t>E-mail</t>
  </si>
  <si>
    <t>CIAL</t>
  </si>
  <si>
    <t xml:space="preserve">Nom </t>
  </si>
  <si>
    <t>ELEVES</t>
  </si>
  <si>
    <t>BUREAU / ADMINISTRATIF</t>
  </si>
  <si>
    <t>SALLES DE COURS</t>
  </si>
  <si>
    <t>ATELIER</t>
  </si>
  <si>
    <t>RESTAURANT SCOLAIRE</t>
  </si>
  <si>
    <t>INSTALLATION SPORTIVE</t>
  </si>
  <si>
    <t>INTERNAT</t>
  </si>
  <si>
    <t>Activité entreprise</t>
  </si>
  <si>
    <t>Nbre de salariés entreprise</t>
  </si>
  <si>
    <t>Autres Email</t>
  </si>
  <si>
    <t>COMPTE RENDU COMMERCIAL / RELANCES</t>
  </si>
  <si>
    <t>SALARIÉS</t>
  </si>
  <si>
    <t>Résumé : comment nous ont-ils démarchés et que veulent ils ? Infos clients…..tarif applicable</t>
  </si>
  <si>
    <t>ALEX</t>
  </si>
  <si>
    <t>CL</t>
  </si>
  <si>
    <t>CAPACITE</t>
  </si>
  <si>
    <t>CITE SCOLAIRE JEANNE D'ARC</t>
  </si>
  <si>
    <t>29 RUE DU PRESIDENT COTY</t>
  </si>
  <si>
    <t>ALBERTVILLE</t>
  </si>
  <si>
    <t>04 79 31 12 28</t>
  </si>
  <si>
    <t>95</t>
  </si>
  <si>
    <t>M.</t>
  </si>
  <si>
    <t>Raphaël ORTEGA</t>
  </si>
  <si>
    <t>direction@spt.education</t>
  </si>
  <si>
    <t>750</t>
  </si>
  <si>
    <t>8</t>
  </si>
  <si>
    <t>21 à 40</t>
  </si>
  <si>
    <t>1 self</t>
  </si>
  <si>
    <t>1 gymnase</t>
  </si>
  <si>
    <t>52 lits (filles)</t>
  </si>
  <si>
    <t>bois</t>
  </si>
  <si>
    <t>CITE SCOLAIRE JEANNE D'ARC (COLLEGE ET LYCEE)</t>
  </si>
  <si>
    <t xml:space="preserve">ECOLE ST FRANCOIS </t>
  </si>
  <si>
    <t>40 AVENUE JEAN JAURES 73200 ALBERTVILLE</t>
  </si>
  <si>
    <t>ECOLE JEANNE D'ARC</t>
  </si>
  <si>
    <t>73250 SAINT PIERRE D'ALBIGNY</t>
  </si>
  <si>
    <t xml:space="preserve">ECOLE PRIMAIRE </t>
  </si>
  <si>
    <t>ECOLE MATERNELLE ET ELEMENTAIRE</t>
  </si>
  <si>
    <t>gestion@spt.education</t>
  </si>
  <si>
    <t>COLLEGE DU 2022 : 76 PAGES</t>
  </si>
  <si>
    <t>LYCEE DU 2022 : 92 PAGES</t>
  </si>
  <si>
    <t>ECOLE DU 2022 : 30 PAGES</t>
  </si>
  <si>
    <t>19/02/2025 08:59 : message sur fixe, mail de relance - 12/02/2025 14:53 : nrp, mail puis rapp. - 19/09/24 : LU - 18/09/2024 16:02 : mail de relance et rapp - 18/09/2024 09:00 : Nrp son secrétariat - 16/09/2024 16:36 : message sur fixe puis rapp - 16/09/2024 08:44 : en RDV, rapp. - 11/09/2024 10:33 : Mail pour MAJ DUERP puis rapp + ECOLE JEANNE D'ARC + ECOLE ST FRANCOIS</t>
  </si>
  <si>
    <t>DEVIS MAJ DUERP + MAJ PPMS 2025 : 2100 / 1680€ -20% SI BDC DES 3 SITES
DU + PPMS 2022 : 2950 €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</si>
</sst>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164" formatCode="[$-40C]d\ mmmm\ yyyy;@"/>
    <numFmt numFmtId="165" formatCode="dd/mm/yy;@"/>
    <numFmt numFmtId="166" formatCode="00000"/>
    <numFmt numFmtId="167" formatCode="0#&quot; &quot;##&quot; &quot;##&quot; &quot;##&quot; &quot;##"/>
  </numFmts>
  <fonts count="2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6"/>
      <color indexed="53"/>
      <name val="Calibri"/>
      <family val="2"/>
    </font>
    <font>
      <b/>
      <sz val="16"/>
      <color indexed="10"/>
      <name val="Calibri"/>
      <family val="2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62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sz val="16"/>
      <color indexed="10"/>
      <name val="Calibri"/>
      <family val="2"/>
      <scheme val="minor"/>
    </font>
    <font>
      <sz val="16"/>
      <color indexed="10"/>
      <name val="Calibri"/>
      <family val="2"/>
      <scheme val="minor"/>
    </font>
    <font>
      <sz val="14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3" tint="0.399975585192419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6DE2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1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17"/>
      </bottom>
      <diagonal/>
    </border>
    <border>
      <left style="thin">
        <color indexed="64"/>
      </left>
      <right/>
      <top style="thin">
        <color indexed="64"/>
      </top>
      <bottom style="thin">
        <color indexed="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17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17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17"/>
      </right>
      <top style="thin">
        <color indexed="64"/>
      </top>
      <bottom/>
      <diagonal/>
    </border>
    <border>
      <left style="thin">
        <color indexed="17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17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7"/>
      </left>
      <right/>
      <top style="thin">
        <color indexed="17"/>
      </top>
      <bottom style="thin">
        <color indexed="64"/>
      </bottom>
      <diagonal/>
    </border>
    <border>
      <left/>
      <right/>
      <top style="thin">
        <color indexed="17"/>
      </top>
      <bottom style="thin">
        <color indexed="64"/>
      </bottom>
      <diagonal/>
    </border>
    <border>
      <left/>
      <right style="thin">
        <color indexed="17"/>
      </right>
      <top style="thin">
        <color indexed="17"/>
      </top>
      <bottom style="thin">
        <color indexed="64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7"/>
      </left>
      <right/>
      <top style="thin">
        <color indexed="64"/>
      </top>
      <bottom style="thin">
        <color indexed="64"/>
      </bottom>
      <diagonal/>
    </border>
    <border>
      <left style="thin">
        <color indexed="17"/>
      </left>
      <right/>
      <top style="thin">
        <color indexed="64"/>
      </top>
      <bottom style="thin">
        <color indexed="17"/>
      </bottom>
      <diagonal/>
    </border>
    <border>
      <left/>
      <right style="thin">
        <color indexed="17"/>
      </right>
      <top style="thin">
        <color indexed="64"/>
      </top>
      <bottom style="thin">
        <color indexed="17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155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 applyProtection="1">
      <alignment horizontal="left" vertical="center"/>
      <protection locked="0"/>
    </xf>
    <xf numFmtId="49" fontId="10" fillId="0" borderId="1" xfId="0" applyNumberFormat="1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left" vertical="center" indent="2"/>
    </xf>
    <xf numFmtId="49" fontId="11" fillId="2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" xfId="2" applyNumberFormat="1" applyFont="1" applyFill="1" applyBorder="1" applyAlignment="1">
      <alignment horizontal="center" vertical="center" wrapText="1" shrinkToFit="1"/>
    </xf>
    <xf numFmtId="1" fontId="11" fillId="2" borderId="1" xfId="2" applyNumberFormat="1" applyFont="1" applyFill="1" applyBorder="1" applyAlignment="1">
      <alignment horizontal="center" vertical="center" wrapText="1" shrinkToFit="1"/>
    </xf>
    <xf numFmtId="49" fontId="11" fillId="2" borderId="1" xfId="2" applyNumberFormat="1" applyFont="1" applyFill="1" applyBorder="1" applyAlignment="1">
      <alignment horizontal="left" vertical="center" wrapText="1" shrinkToFit="1"/>
    </xf>
    <xf numFmtId="49" fontId="11" fillId="2" borderId="1" xfId="3" applyNumberFormat="1" applyFont="1" applyFill="1" applyBorder="1" applyAlignment="1">
      <alignment horizontal="left" vertical="center"/>
    </xf>
    <xf numFmtId="49" fontId="11" fillId="2" borderId="1" xfId="3" applyNumberFormat="1" applyFont="1" applyFill="1" applyBorder="1" applyAlignment="1">
      <alignment horizontal="center" vertical="center" wrapText="1"/>
    </xf>
    <xf numFmtId="49" fontId="11" fillId="2" borderId="1" xfId="3" applyNumberFormat="1" applyFont="1" applyFill="1" applyBorder="1" applyAlignment="1">
      <alignment horizontal="left" vertical="center" wrapText="1"/>
    </xf>
    <xf numFmtId="165" fontId="11" fillId="2" borderId="1" xfId="3" applyNumberFormat="1" applyFont="1" applyFill="1" applyBorder="1" applyAlignment="1">
      <alignment horizontal="center" vertical="center" wrapText="1"/>
    </xf>
    <xf numFmtId="49" fontId="12" fillId="2" borderId="1" xfId="3" applyNumberFormat="1" applyFont="1" applyFill="1" applyBorder="1" applyAlignment="1">
      <alignment horizontal="center" vertical="center" wrapText="1"/>
    </xf>
    <xf numFmtId="166" fontId="12" fillId="2" borderId="1" xfId="3" applyNumberFormat="1" applyFont="1" applyFill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0" fontId="13" fillId="0" borderId="3" xfId="0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>
      <alignment horizontal="right" vertical="center"/>
    </xf>
    <xf numFmtId="167" fontId="9" fillId="3" borderId="1" xfId="0" applyNumberFormat="1" applyFont="1" applyFill="1" applyBorder="1" applyAlignment="1">
      <alignment vertical="center"/>
    </xf>
    <xf numFmtId="0" fontId="15" fillId="0" borderId="5" xfId="0" applyFont="1" applyBorder="1" applyAlignment="1">
      <alignment horizontal="right" vertical="center"/>
    </xf>
    <xf numFmtId="49" fontId="14" fillId="0" borderId="6" xfId="0" applyNumberFormat="1" applyFont="1" applyBorder="1" applyAlignment="1" applyProtection="1">
      <alignment horizontal="right" vertical="center"/>
      <protection locked="0"/>
    </xf>
    <xf numFmtId="14" fontId="11" fillId="2" borderId="1" xfId="3" applyNumberFormat="1" applyFont="1" applyFill="1" applyBorder="1" applyAlignment="1">
      <alignment horizontal="center" vertical="center" wrapText="1"/>
    </xf>
    <xf numFmtId="3" fontId="11" fillId="2" borderId="1" xfId="3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 indent="2"/>
    </xf>
    <xf numFmtId="0" fontId="14" fillId="3" borderId="1" xfId="0" applyFont="1" applyFill="1" applyBorder="1" applyAlignment="1">
      <alignment vertical="center"/>
    </xf>
    <xf numFmtId="166" fontId="9" fillId="0" borderId="7" xfId="0" applyNumberFormat="1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49" fontId="16" fillId="5" borderId="38" xfId="0" applyNumberFormat="1" applyFont="1" applyFill="1" applyBorder="1" applyAlignment="1">
      <alignment vertical="center"/>
    </xf>
    <xf numFmtId="49" fontId="17" fillId="0" borderId="38" xfId="0" applyNumberFormat="1" applyFont="1" applyBorder="1" applyAlignment="1" applyProtection="1">
      <alignment horizontal="center" vertical="center"/>
      <protection locked="0"/>
    </xf>
    <xf numFmtId="49" fontId="17" fillId="0" borderId="39" xfId="0" applyNumberFormat="1" applyFont="1" applyBorder="1" applyAlignment="1" applyProtection="1">
      <alignment horizontal="center" vertical="center"/>
      <protection locked="0"/>
    </xf>
    <xf numFmtId="49" fontId="24" fillId="0" borderId="6" xfId="0" applyNumberFormat="1" applyFont="1" applyBorder="1" applyAlignment="1" applyProtection="1">
      <alignment horizontal="right" vertical="center"/>
      <protection locked="0"/>
    </xf>
    <xf numFmtId="49" fontId="24" fillId="11" borderId="38" xfId="0" applyNumberFormat="1" applyFont="1" applyFill="1" applyBorder="1" applyAlignment="1">
      <alignment vertical="center"/>
    </xf>
    <xf numFmtId="14" fontId="9" fillId="3" borderId="1" xfId="0" applyNumberFormat="1" applyFont="1" applyFill="1" applyBorder="1" applyAlignment="1">
      <alignment vertical="center"/>
    </xf>
    <xf numFmtId="49" fontId="27" fillId="5" borderId="38" xfId="0" applyNumberFormat="1" applyFont="1" applyFill="1" applyBorder="1" applyAlignment="1">
      <alignment vertical="center"/>
    </xf>
    <xf numFmtId="0" fontId="26" fillId="0" borderId="33" xfId="0" applyFont="1" applyBorder="1" applyAlignment="1">
      <alignment horizontal="center" vertical="top"/>
    </xf>
    <xf numFmtId="49" fontId="27" fillId="0" borderId="38" xfId="0" applyNumberFormat="1" applyFont="1" applyBorder="1" applyAlignment="1">
      <alignment vertical="center"/>
    </xf>
    <xf numFmtId="0" fontId="26" fillId="0" borderId="40" xfId="0" applyFont="1" applyBorder="1" applyAlignment="1">
      <alignment horizontal="center" vertical="top"/>
    </xf>
    <xf numFmtId="0" fontId="9" fillId="0" borderId="2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11" fillId="6" borderId="15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1" fillId="6" borderId="19" xfId="0" applyNumberFormat="1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49" fontId="14" fillId="0" borderId="8" xfId="0" applyNumberFormat="1" applyFont="1" applyBorder="1" applyAlignment="1" applyProtection="1">
      <alignment horizontal="left" vertical="center"/>
      <protection locked="0"/>
    </xf>
    <xf numFmtId="49" fontId="14" fillId="0" borderId="3" xfId="0" applyNumberFormat="1" applyFont="1" applyBorder="1" applyAlignment="1" applyProtection="1">
      <alignment horizontal="left" vertical="center"/>
      <protection locked="0"/>
    </xf>
    <xf numFmtId="49" fontId="14" fillId="0" borderId="6" xfId="0" applyNumberFormat="1" applyFont="1" applyBorder="1" applyAlignment="1" applyProtection="1">
      <alignment horizontal="left" vertical="center"/>
      <protection locked="0"/>
    </xf>
    <xf numFmtId="49" fontId="14" fillId="0" borderId="9" xfId="0" applyNumberFormat="1" applyFont="1" applyBorder="1" applyAlignment="1" applyProtection="1">
      <alignment horizontal="left" vertical="center"/>
      <protection locked="0"/>
    </xf>
    <xf numFmtId="49" fontId="10" fillId="0" borderId="12" xfId="0" applyNumberFormat="1" applyFont="1" applyBorder="1" applyAlignment="1">
      <alignment horizontal="left" vertical="center" wrapText="1"/>
    </xf>
    <xf numFmtId="49" fontId="10" fillId="0" borderId="16" xfId="0" applyNumberFormat="1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49" fontId="10" fillId="0" borderId="18" xfId="0" applyNumberFormat="1" applyFont="1" applyBorder="1" applyAlignment="1">
      <alignment horizontal="left" vertical="center"/>
    </xf>
    <xf numFmtId="49" fontId="10" fillId="0" borderId="24" xfId="0" applyNumberFormat="1" applyFont="1" applyBorder="1" applyAlignment="1">
      <alignment horizontal="left" vertical="center"/>
    </xf>
    <xf numFmtId="49" fontId="10" fillId="0" borderId="25" xfId="0" applyNumberFormat="1" applyFont="1" applyBorder="1" applyAlignment="1">
      <alignment horizontal="left" vertical="center"/>
    </xf>
    <xf numFmtId="49" fontId="16" fillId="5" borderId="6" xfId="0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49" fontId="17" fillId="0" borderId="6" xfId="0" applyNumberFormat="1" applyFont="1" applyBorder="1" applyAlignment="1" applyProtection="1">
      <alignment horizontal="center" vertical="center"/>
      <protection locked="0"/>
    </xf>
    <xf numFmtId="49" fontId="17" fillId="0" borderId="8" xfId="0" applyNumberFormat="1" applyFont="1" applyBorder="1" applyAlignment="1" applyProtection="1">
      <alignment horizontal="center" vertical="center"/>
      <protection locked="0"/>
    </xf>
    <xf numFmtId="49" fontId="17" fillId="0" borderId="3" xfId="0" applyNumberFormat="1" applyFont="1" applyBorder="1" applyAlignment="1" applyProtection="1">
      <alignment horizontal="center" vertical="center"/>
      <protection locked="0"/>
    </xf>
    <xf numFmtId="49" fontId="10" fillId="0" borderId="6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67" fontId="14" fillId="0" borderId="12" xfId="0" applyNumberFormat="1" applyFont="1" applyBorder="1" applyAlignment="1" applyProtection="1">
      <alignment horizontal="center" vertical="center"/>
      <protection locked="0"/>
    </xf>
    <xf numFmtId="167" fontId="14" fillId="0" borderId="13" xfId="0" applyNumberFormat="1" applyFont="1" applyBorder="1" applyAlignment="1" applyProtection="1">
      <alignment horizontal="center" vertical="center"/>
      <protection locked="0"/>
    </xf>
    <xf numFmtId="167" fontId="14" fillId="0" borderId="16" xfId="0" applyNumberFormat="1" applyFont="1" applyBorder="1" applyAlignment="1" applyProtection="1">
      <alignment horizontal="center" vertical="center"/>
      <protection locked="0"/>
    </xf>
    <xf numFmtId="0" fontId="26" fillId="9" borderId="37" xfId="0" applyFont="1" applyFill="1" applyBorder="1" applyAlignment="1" applyProtection="1">
      <alignment horizontal="center" vertical="top" wrapText="1"/>
      <protection locked="0"/>
    </xf>
    <xf numFmtId="0" fontId="26" fillId="9" borderId="33" xfId="0" applyFont="1" applyFill="1" applyBorder="1" applyAlignment="1" applyProtection="1">
      <alignment horizontal="center" vertical="top" wrapText="1"/>
      <protection locked="0"/>
    </xf>
    <xf numFmtId="0" fontId="27" fillId="5" borderId="1" xfId="0" applyFont="1" applyFill="1" applyBorder="1" applyAlignment="1">
      <alignment horizontal="center" vertical="top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9" fillId="0" borderId="10" xfId="0" applyNumberFormat="1" applyFont="1" applyBorder="1" applyAlignment="1" applyProtection="1">
      <alignment horizontal="left" vertical="center" wrapText="1"/>
      <protection locked="0"/>
    </xf>
    <xf numFmtId="49" fontId="9" fillId="0" borderId="11" xfId="0" applyNumberFormat="1" applyFont="1" applyBorder="1" applyAlignment="1" applyProtection="1">
      <alignment horizontal="left" vertical="center" wrapText="1"/>
      <protection locked="0"/>
    </xf>
    <xf numFmtId="49" fontId="9" fillId="0" borderId="12" xfId="0" applyNumberFormat="1" applyFont="1" applyBorder="1" applyAlignment="1" applyProtection="1">
      <alignment horizontal="left" vertical="center" wrapText="1"/>
      <protection locked="0"/>
    </xf>
    <xf numFmtId="49" fontId="9" fillId="0" borderId="13" xfId="0" applyNumberFormat="1" applyFont="1" applyBorder="1" applyAlignment="1" applyProtection="1">
      <alignment horizontal="left" vertical="center" wrapText="1"/>
      <protection locked="0"/>
    </xf>
    <xf numFmtId="49" fontId="17" fillId="0" borderId="7" xfId="0" applyNumberFormat="1" applyFont="1" applyBorder="1" applyAlignment="1" applyProtection="1">
      <alignment horizontal="center" vertical="center"/>
      <protection locked="0"/>
    </xf>
    <xf numFmtId="49" fontId="17" fillId="0" borderId="10" xfId="0" applyNumberFormat="1" applyFont="1" applyBorder="1" applyAlignment="1" applyProtection="1">
      <alignment horizontal="center" vertical="center"/>
      <protection locked="0"/>
    </xf>
    <xf numFmtId="49" fontId="17" fillId="0" borderId="18" xfId="0" applyNumberFormat="1" applyFont="1" applyBorder="1" applyAlignment="1" applyProtection="1">
      <alignment horizontal="center" vertical="center"/>
      <protection locked="0"/>
    </xf>
    <xf numFmtId="49" fontId="8" fillId="0" borderId="8" xfId="1" applyNumberFormat="1" applyBorder="1" applyAlignment="1" applyProtection="1">
      <alignment horizontal="left" vertical="center"/>
      <protection locked="0"/>
    </xf>
    <xf numFmtId="0" fontId="9" fillId="0" borderId="8" xfId="0" applyFont="1" applyBorder="1" applyAlignment="1">
      <alignment horizontal="left" vertical="center"/>
    </xf>
    <xf numFmtId="0" fontId="18" fillId="6" borderId="19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19" fillId="7" borderId="34" xfId="0" applyFont="1" applyFill="1" applyBorder="1" applyAlignment="1">
      <alignment horizontal="center" vertical="center"/>
    </xf>
    <xf numFmtId="0" fontId="19" fillId="7" borderId="35" xfId="0" applyFont="1" applyFill="1" applyBorder="1" applyAlignment="1">
      <alignment horizontal="center" vertical="center"/>
    </xf>
    <xf numFmtId="0" fontId="19" fillId="7" borderId="36" xfId="0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49" fontId="14" fillId="0" borderId="6" xfId="0" applyNumberFormat="1" applyFont="1" applyBorder="1" applyAlignment="1" applyProtection="1">
      <alignment horizontal="center" vertical="center"/>
      <protection locked="0"/>
    </xf>
    <xf numFmtId="49" fontId="14" fillId="0" borderId="9" xfId="0" applyNumberFormat="1" applyFont="1" applyBorder="1" applyAlignment="1" applyProtection="1">
      <alignment horizontal="center" vertical="center"/>
      <protection locked="0"/>
    </xf>
    <xf numFmtId="49" fontId="14" fillId="0" borderId="12" xfId="0" applyNumberFormat="1" applyFont="1" applyBorder="1" applyAlignment="1" applyProtection="1">
      <alignment horizontal="center" vertical="center"/>
      <protection locked="0"/>
    </xf>
    <xf numFmtId="49" fontId="14" fillId="0" borderId="13" xfId="0" applyNumberFormat="1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center"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8" xfId="0" applyNumberFormat="1" applyFont="1" applyBorder="1" applyAlignment="1" applyProtection="1">
      <alignment horizontal="center" vertical="center"/>
      <protection locked="0"/>
    </xf>
    <xf numFmtId="167" fontId="14" fillId="0" borderId="3" xfId="0" applyNumberFormat="1" applyFont="1" applyBorder="1" applyAlignment="1" applyProtection="1">
      <alignment horizontal="center" vertical="center"/>
      <protection locked="0"/>
    </xf>
    <xf numFmtId="49" fontId="20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2" fillId="8" borderId="6" xfId="0" applyFont="1" applyFill="1" applyBorder="1" applyAlignment="1" applyProtection="1">
      <alignment horizontal="left" vertical="center"/>
      <protection locked="0"/>
    </xf>
    <xf numFmtId="0" fontId="22" fillId="8" borderId="8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49" fontId="10" fillId="0" borderId="26" xfId="0" applyNumberFormat="1" applyFont="1" applyBorder="1" applyAlignment="1">
      <alignment horizontal="left" vertical="center"/>
    </xf>
    <xf numFmtId="49" fontId="14" fillId="0" borderId="6" xfId="0" applyNumberFormat="1" applyFont="1" applyBorder="1" applyAlignment="1" applyProtection="1">
      <alignment horizontal="left" vertical="center" wrapText="1"/>
      <protection locked="0"/>
    </xf>
    <xf numFmtId="49" fontId="14" fillId="0" borderId="8" xfId="0" applyNumberFormat="1" applyFont="1" applyBorder="1" applyAlignment="1" applyProtection="1">
      <alignment horizontal="left" vertical="center" wrapText="1"/>
      <protection locked="0"/>
    </xf>
    <xf numFmtId="49" fontId="14" fillId="0" borderId="9" xfId="0" applyNumberFormat="1" applyFont="1" applyBorder="1" applyAlignment="1" applyProtection="1">
      <alignment horizontal="left" vertical="center" wrapText="1"/>
      <protection locked="0"/>
    </xf>
    <xf numFmtId="49" fontId="10" fillId="4" borderId="6" xfId="0" applyNumberFormat="1" applyFont="1" applyFill="1" applyBorder="1" applyAlignment="1">
      <alignment horizontal="left" vertical="center"/>
    </xf>
    <xf numFmtId="49" fontId="10" fillId="4" borderId="3" xfId="0" applyNumberFormat="1" applyFont="1" applyFill="1" applyBorder="1" applyAlignment="1">
      <alignment horizontal="left" vertical="center"/>
    </xf>
    <xf numFmtId="49" fontId="10" fillId="4" borderId="27" xfId="0" applyNumberFormat="1" applyFont="1" applyFill="1" applyBorder="1" applyAlignment="1">
      <alignment vertical="center"/>
    </xf>
    <xf numFmtId="49" fontId="10" fillId="4" borderId="2" xfId="0" applyNumberFormat="1" applyFont="1" applyFill="1" applyBorder="1" applyAlignment="1">
      <alignment vertical="center"/>
    </xf>
    <xf numFmtId="49" fontId="9" fillId="0" borderId="5" xfId="0" applyNumberFormat="1" applyFont="1" applyBorder="1" applyAlignment="1" applyProtection="1">
      <alignment vertical="center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49" fontId="9" fillId="0" borderId="28" xfId="0" applyNumberFormat="1" applyFont="1" applyBorder="1" applyAlignment="1" applyProtection="1">
      <alignment vertical="center"/>
      <protection locked="0"/>
    </xf>
    <xf numFmtId="167" fontId="14" fillId="0" borderId="9" xfId="0" applyNumberFormat="1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right" vertical="center"/>
      <protection locked="0"/>
    </xf>
    <xf numFmtId="0" fontId="13" fillId="0" borderId="8" xfId="0" applyFont="1" applyBorder="1" applyAlignment="1" applyProtection="1">
      <alignment horizontal="right" vertical="center"/>
      <protection locked="0"/>
    </xf>
    <xf numFmtId="0" fontId="15" fillId="0" borderId="5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49" fontId="10" fillId="0" borderId="15" xfId="0" applyNumberFormat="1" applyFont="1" applyBorder="1" applyAlignment="1">
      <alignment horizontal="left" vertical="center"/>
    </xf>
    <xf numFmtId="49" fontId="10" fillId="0" borderId="17" xfId="0" applyNumberFormat="1" applyFont="1" applyBorder="1" applyAlignment="1">
      <alignment horizontal="left" vertical="center"/>
    </xf>
    <xf numFmtId="49" fontId="9" fillId="0" borderId="14" xfId="0" applyNumberFormat="1" applyFont="1" applyBorder="1" applyAlignment="1" applyProtection="1">
      <alignment horizontal="left" vertical="center" wrapText="1"/>
      <protection locked="0"/>
    </xf>
    <xf numFmtId="49" fontId="9" fillId="0" borderId="8" xfId="0" applyNumberFormat="1" applyFont="1" applyBorder="1" applyAlignment="1" applyProtection="1">
      <alignment horizontal="left" vertical="center"/>
      <protection locked="0"/>
    </xf>
    <xf numFmtId="49" fontId="9" fillId="0" borderId="9" xfId="0" applyNumberFormat="1" applyFont="1" applyBorder="1" applyAlignment="1" applyProtection="1">
      <alignment horizontal="left" vertical="center"/>
      <protection locked="0"/>
    </xf>
    <xf numFmtId="0" fontId="27" fillId="5" borderId="25" xfId="0" applyFont="1" applyFill="1" applyBorder="1" applyAlignment="1">
      <alignment horizontal="center" vertical="top"/>
    </xf>
    <xf numFmtId="6" fontId="9" fillId="0" borderId="15" xfId="0" applyNumberFormat="1" applyFont="1" applyBorder="1" applyAlignment="1" applyProtection="1">
      <alignment horizontal="left" vertical="top" wrapText="1"/>
      <protection locked="0"/>
    </xf>
    <xf numFmtId="0" fontId="9" fillId="0" borderId="13" xfId="0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9" xfId="0" applyFont="1" applyBorder="1" applyAlignment="1" applyProtection="1">
      <alignment horizontal="left" vertical="top" wrapText="1"/>
      <protection locked="0"/>
    </xf>
    <xf numFmtId="0" fontId="9" fillId="0" borderId="30" xfId="0" applyFont="1" applyBorder="1" applyAlignment="1" applyProtection="1">
      <alignment horizontal="left" vertical="top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14" fillId="10" borderId="37" xfId="0" applyFont="1" applyFill="1" applyBorder="1" applyAlignment="1">
      <alignment horizontal="center" vertical="center"/>
    </xf>
    <xf numFmtId="0" fontId="14" fillId="10" borderId="33" xfId="0" applyFont="1" applyFill="1" applyBorder="1" applyAlignment="1">
      <alignment horizontal="center" vertical="center"/>
    </xf>
    <xf numFmtId="0" fontId="14" fillId="10" borderId="32" xfId="0" applyFont="1" applyFill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/>
    </xf>
    <xf numFmtId="49" fontId="23" fillId="0" borderId="6" xfId="0" applyNumberFormat="1" applyFont="1" applyBorder="1" applyAlignment="1" applyProtection="1">
      <alignment horizontal="left" vertical="center"/>
      <protection locked="0"/>
    </xf>
    <xf numFmtId="49" fontId="23" fillId="0" borderId="9" xfId="0" applyNumberFormat="1" applyFont="1" applyBorder="1" applyAlignment="1" applyProtection="1">
      <alignment horizontal="left" vertical="center"/>
      <protection locked="0"/>
    </xf>
    <xf numFmtId="0" fontId="25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/>
    </xf>
    <xf numFmtId="0" fontId="25" fillId="5" borderId="1" xfId="0" applyFont="1" applyFill="1" applyBorder="1" applyAlignment="1">
      <alignment horizontal="center" vertical="top"/>
    </xf>
  </cellXfs>
  <cellStyles count="4">
    <cellStyle name="Lien hypertexte" xfId="1" builtinId="8"/>
    <cellStyle name="Normal" xfId="0" builtinId="0"/>
    <cellStyle name="Normal_Feuil1" xfId="2" xr:uid="{00000000-0005-0000-0000-000002000000}"/>
    <cellStyle name="Normal_Feuil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estion@spt.education" TargetMode="External"/><Relationship Id="rId1" Type="http://schemas.openxmlformats.org/officeDocument/2006/relationships/hyperlink" Target="mailto:direction@spt.edu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topLeftCell="A5" zoomScaleNormal="100" workbookViewId="0">
      <selection activeCell="A18" sqref="A18:H21"/>
    </sheetView>
  </sheetViews>
  <sheetFormatPr baseColWidth="10" defaultColWidth="13.140625" defaultRowHeight="12.75" x14ac:dyDescent="0.2"/>
  <cols>
    <col min="1" max="1" width="13.42578125" style="1" customWidth="1"/>
    <col min="2" max="2" width="10.42578125" style="1" customWidth="1"/>
    <col min="3" max="3" width="7.7109375" style="1" customWidth="1"/>
    <col min="4" max="4" width="9.7109375" style="1" bestFit="1" customWidth="1"/>
    <col min="5" max="5" width="12.85546875" style="1" bestFit="1" customWidth="1"/>
    <col min="6" max="6" width="11.42578125" style="1" bestFit="1" customWidth="1"/>
    <col min="7" max="7" width="12.28515625" style="1" bestFit="1" customWidth="1"/>
    <col min="8" max="8" width="23" style="1" customWidth="1"/>
    <col min="9" max="16384" width="13.140625" style="1"/>
  </cols>
  <sheetData>
    <row r="1" spans="1:8" ht="27.75" customHeight="1" x14ac:dyDescent="0.2">
      <c r="A1" s="105" t="s">
        <v>14</v>
      </c>
      <c r="B1" s="106"/>
      <c r="C1" s="106"/>
      <c r="D1" s="106"/>
      <c r="E1" s="106"/>
      <c r="F1" s="106"/>
      <c r="G1" s="106"/>
      <c r="H1" s="106"/>
    </row>
    <row r="2" spans="1:8" ht="18.75" x14ac:dyDescent="0.2">
      <c r="A2" s="107" t="s">
        <v>10</v>
      </c>
      <c r="B2" s="108"/>
      <c r="C2" s="108"/>
      <c r="D2" s="109"/>
      <c r="E2" s="125" t="s">
        <v>35</v>
      </c>
      <c r="F2" s="126"/>
      <c r="G2" s="126"/>
      <c r="H2" s="17">
        <v>107971</v>
      </c>
    </row>
    <row r="3" spans="1:8" ht="19.5" customHeight="1" x14ac:dyDescent="0.2">
      <c r="A3" s="127" t="s">
        <v>12</v>
      </c>
      <c r="B3" s="128"/>
      <c r="C3" s="79" t="s">
        <v>55</v>
      </c>
      <c r="D3" s="80"/>
      <c r="E3" s="20" t="s">
        <v>37</v>
      </c>
      <c r="F3" s="30" t="s">
        <v>54</v>
      </c>
      <c r="G3" s="18" t="s">
        <v>13</v>
      </c>
      <c r="H3" s="4">
        <v>44651</v>
      </c>
    </row>
    <row r="4" spans="1:8" ht="12.75" customHeight="1" x14ac:dyDescent="0.2">
      <c r="A4" s="110" t="s">
        <v>7</v>
      </c>
      <c r="B4" s="111"/>
      <c r="C4" s="111"/>
      <c r="D4" s="111"/>
      <c r="E4" s="111"/>
      <c r="F4" s="111"/>
      <c r="G4" s="111"/>
      <c r="H4" s="112"/>
    </row>
    <row r="5" spans="1:8" ht="23.25" customHeight="1" x14ac:dyDescent="0.2">
      <c r="A5" s="113" t="s">
        <v>40</v>
      </c>
      <c r="B5" s="71"/>
      <c r="C5" s="114" t="s">
        <v>57</v>
      </c>
      <c r="D5" s="115"/>
      <c r="E5" s="115"/>
      <c r="F5" s="115"/>
      <c r="G5" s="115"/>
      <c r="H5" s="116"/>
    </row>
    <row r="6" spans="1:8" ht="21" customHeight="1" x14ac:dyDescent="0.2">
      <c r="A6" s="129" t="s">
        <v>6</v>
      </c>
      <c r="B6" s="60"/>
      <c r="C6" s="83" t="s">
        <v>58</v>
      </c>
      <c r="D6" s="84"/>
      <c r="E6" s="84"/>
      <c r="F6" s="84"/>
      <c r="G6" s="84"/>
      <c r="H6" s="131"/>
    </row>
    <row r="7" spans="1:8" ht="20.25" customHeight="1" x14ac:dyDescent="0.2">
      <c r="A7" s="130"/>
      <c r="B7" s="62"/>
      <c r="C7" s="29">
        <v>73200</v>
      </c>
      <c r="D7" s="81" t="s">
        <v>59</v>
      </c>
      <c r="E7" s="81"/>
      <c r="F7" s="81"/>
      <c r="G7" s="81"/>
      <c r="H7" s="82"/>
    </row>
    <row r="8" spans="1:8" ht="15.95" customHeight="1" x14ac:dyDescent="0.2">
      <c r="A8" s="70" t="s">
        <v>8</v>
      </c>
      <c r="B8" s="71"/>
      <c r="C8" s="102" t="s">
        <v>60</v>
      </c>
      <c r="D8" s="103"/>
      <c r="E8" s="104"/>
      <c r="F8" s="3" t="s">
        <v>5</v>
      </c>
      <c r="G8" s="97"/>
      <c r="H8" s="98"/>
    </row>
    <row r="9" spans="1:8" ht="15.95" customHeight="1" x14ac:dyDescent="0.2">
      <c r="A9" s="117" t="s">
        <v>49</v>
      </c>
      <c r="B9" s="118"/>
      <c r="C9" s="99" t="s">
        <v>61</v>
      </c>
      <c r="D9" s="100"/>
      <c r="E9" s="101"/>
      <c r="F9" s="31" t="s">
        <v>11</v>
      </c>
      <c r="G9" s="97"/>
      <c r="H9" s="98"/>
    </row>
    <row r="10" spans="1:8" ht="15.95" customHeight="1" x14ac:dyDescent="0.2">
      <c r="A10" s="119" t="s">
        <v>48</v>
      </c>
      <c r="B10" s="120"/>
      <c r="C10" s="121"/>
      <c r="D10" s="122"/>
      <c r="E10" s="122"/>
      <c r="F10" s="122"/>
      <c r="G10" s="122"/>
      <c r="H10" s="123"/>
    </row>
    <row r="11" spans="1:8" ht="12.75" customHeight="1" x14ac:dyDescent="0.2">
      <c r="A11" s="52" t="s">
        <v>9</v>
      </c>
      <c r="B11" s="53"/>
      <c r="C11" s="53"/>
      <c r="D11" s="53"/>
      <c r="E11" s="53"/>
      <c r="F11" s="53"/>
      <c r="G11" s="53"/>
      <c r="H11" s="54"/>
    </row>
    <row r="12" spans="1:8" ht="15.75" customHeight="1" x14ac:dyDescent="0.2">
      <c r="A12" s="59" t="s">
        <v>36</v>
      </c>
      <c r="B12" s="60"/>
      <c r="C12" s="35" t="s">
        <v>62</v>
      </c>
      <c r="D12" s="55" t="s">
        <v>63</v>
      </c>
      <c r="E12" s="56"/>
      <c r="F12" s="63" t="s">
        <v>4</v>
      </c>
      <c r="G12" s="150"/>
      <c r="H12" s="151"/>
    </row>
    <row r="13" spans="1:8" ht="15.75" customHeight="1" x14ac:dyDescent="0.2">
      <c r="A13" s="61"/>
      <c r="B13" s="62"/>
      <c r="C13" s="21"/>
      <c r="D13" s="55"/>
      <c r="E13" s="56"/>
      <c r="F13" s="64"/>
      <c r="G13" s="57"/>
      <c r="H13" s="58"/>
    </row>
    <row r="14" spans="1:8" ht="15.95" customHeight="1" x14ac:dyDescent="0.2">
      <c r="A14" s="70" t="s">
        <v>1</v>
      </c>
      <c r="B14" s="71"/>
      <c r="C14" s="73"/>
      <c r="D14" s="74"/>
      <c r="E14" s="75"/>
      <c r="F14" s="3" t="s">
        <v>2</v>
      </c>
      <c r="G14" s="102"/>
      <c r="H14" s="124"/>
    </row>
    <row r="15" spans="1:8" ht="15.95" customHeight="1" x14ac:dyDescent="0.2">
      <c r="A15" s="70" t="s">
        <v>3</v>
      </c>
      <c r="B15" s="71"/>
      <c r="C15" s="88" t="s">
        <v>64</v>
      </c>
      <c r="D15" s="132"/>
      <c r="E15" s="132"/>
      <c r="F15" s="132"/>
      <c r="G15" s="132"/>
      <c r="H15" s="133"/>
    </row>
    <row r="16" spans="1:8" ht="15.95" customHeight="1" x14ac:dyDescent="0.2">
      <c r="A16" s="70" t="s">
        <v>50</v>
      </c>
      <c r="B16" s="72"/>
      <c r="C16" s="88" t="s">
        <v>79</v>
      </c>
      <c r="D16" s="89"/>
      <c r="E16" s="89"/>
      <c r="F16" s="89"/>
      <c r="G16" s="89"/>
      <c r="H16" s="72"/>
    </row>
    <row r="17" spans="1:8" ht="15.95" customHeight="1" x14ac:dyDescent="0.2">
      <c r="A17" s="90" t="s">
        <v>53</v>
      </c>
      <c r="B17" s="91"/>
      <c r="C17" s="91"/>
      <c r="D17" s="91"/>
      <c r="E17" s="91"/>
      <c r="F17" s="91"/>
      <c r="G17" s="91"/>
      <c r="H17" s="92"/>
    </row>
    <row r="18" spans="1:8" ht="21" customHeight="1" x14ac:dyDescent="0.2">
      <c r="A18" s="135" t="s">
        <v>84</v>
      </c>
      <c r="B18" s="136"/>
      <c r="C18" s="136"/>
      <c r="D18" s="136"/>
      <c r="E18" s="136"/>
      <c r="F18" s="136"/>
      <c r="G18" s="136"/>
      <c r="H18" s="137"/>
    </row>
    <row r="19" spans="1:8" x14ac:dyDescent="0.2">
      <c r="A19" s="138"/>
      <c r="B19" s="139"/>
      <c r="C19" s="139"/>
      <c r="D19" s="139"/>
      <c r="E19" s="139"/>
      <c r="F19" s="139"/>
      <c r="G19" s="139"/>
      <c r="H19" s="140"/>
    </row>
    <row r="20" spans="1:8" x14ac:dyDescent="0.2">
      <c r="A20" s="138"/>
      <c r="B20" s="139"/>
      <c r="C20" s="139"/>
      <c r="D20" s="139"/>
      <c r="E20" s="139"/>
      <c r="F20" s="139"/>
      <c r="G20" s="139"/>
      <c r="H20" s="140"/>
    </row>
    <row r="21" spans="1:8" ht="36" customHeight="1" x14ac:dyDescent="0.2">
      <c r="A21" s="141"/>
      <c r="B21" s="142"/>
      <c r="C21" s="142"/>
      <c r="D21" s="142"/>
      <c r="E21" s="142"/>
      <c r="F21" s="142"/>
      <c r="G21" s="142"/>
      <c r="H21" s="143"/>
    </row>
    <row r="22" spans="1:8" ht="23.25" customHeight="1" thickBot="1" x14ac:dyDescent="0.25">
      <c r="A22" s="93"/>
      <c r="B22" s="94"/>
      <c r="C22" s="94"/>
      <c r="D22" s="94"/>
      <c r="E22" s="94"/>
      <c r="F22" s="94"/>
      <c r="G22" s="94"/>
      <c r="H22" s="95"/>
    </row>
    <row r="23" spans="1:8" ht="15" customHeight="1" thickBot="1" x14ac:dyDescent="0.25">
      <c r="A23" s="144" t="s">
        <v>72</v>
      </c>
      <c r="B23" s="145"/>
      <c r="C23" s="145"/>
      <c r="D23" s="146"/>
      <c r="E23" s="32" t="s">
        <v>41</v>
      </c>
      <c r="F23" s="33" t="s">
        <v>65</v>
      </c>
      <c r="G23" s="36" t="s">
        <v>56</v>
      </c>
      <c r="H23" s="34"/>
    </row>
    <row r="24" spans="1:8" ht="15" customHeight="1" x14ac:dyDescent="0.2">
      <c r="A24" s="147" t="s">
        <v>42</v>
      </c>
      <c r="B24" s="147"/>
      <c r="C24" s="85" t="s">
        <v>66</v>
      </c>
      <c r="D24" s="86"/>
      <c r="E24" s="86"/>
      <c r="F24" s="86"/>
      <c r="G24" s="86"/>
      <c r="H24" s="87"/>
    </row>
    <row r="25" spans="1:8" ht="15" customHeight="1" x14ac:dyDescent="0.2">
      <c r="A25" s="96" t="s">
        <v>43</v>
      </c>
      <c r="B25" s="96"/>
      <c r="C25" s="67" t="s">
        <v>67</v>
      </c>
      <c r="D25" s="68"/>
      <c r="E25" s="68"/>
      <c r="F25" s="68"/>
      <c r="G25" s="68"/>
      <c r="H25" s="69"/>
    </row>
    <row r="26" spans="1:8" ht="15" customHeight="1" x14ac:dyDescent="0.2">
      <c r="A26" s="96" t="s">
        <v>45</v>
      </c>
      <c r="B26" s="96"/>
      <c r="C26" s="67" t="s">
        <v>68</v>
      </c>
      <c r="D26" s="68"/>
      <c r="E26" s="68"/>
      <c r="F26" s="68"/>
      <c r="G26" s="68"/>
      <c r="H26" s="69"/>
    </row>
    <row r="27" spans="1:8" ht="15" customHeight="1" x14ac:dyDescent="0.2">
      <c r="A27" s="96" t="s">
        <v>46</v>
      </c>
      <c r="B27" s="96"/>
      <c r="C27" s="67" t="s">
        <v>69</v>
      </c>
      <c r="D27" s="68"/>
      <c r="E27" s="68"/>
      <c r="F27" s="68"/>
      <c r="G27" s="68"/>
      <c r="H27" s="69"/>
    </row>
    <row r="28" spans="1:8" ht="15" customHeight="1" x14ac:dyDescent="0.2">
      <c r="A28" s="65" t="s">
        <v>47</v>
      </c>
      <c r="B28" s="66"/>
      <c r="C28" s="67" t="s">
        <v>70</v>
      </c>
      <c r="D28" s="68"/>
      <c r="E28" s="68"/>
      <c r="F28" s="68"/>
      <c r="G28" s="68"/>
      <c r="H28" s="69"/>
    </row>
    <row r="29" spans="1:8" ht="15" customHeight="1" thickBot="1" x14ac:dyDescent="0.25">
      <c r="A29" s="51" t="s">
        <v>44</v>
      </c>
      <c r="B29" s="51"/>
      <c r="C29" s="67" t="s">
        <v>71</v>
      </c>
      <c r="D29" s="68"/>
      <c r="E29" s="68"/>
      <c r="F29" s="68"/>
      <c r="G29" s="68"/>
      <c r="H29" s="69"/>
    </row>
    <row r="30" spans="1:8" ht="13.5" thickBot="1" x14ac:dyDescent="0.25">
      <c r="A30" s="76" t="s">
        <v>73</v>
      </c>
      <c r="B30" s="77"/>
      <c r="C30" s="77"/>
      <c r="D30" s="77"/>
      <c r="E30" s="38" t="s">
        <v>41</v>
      </c>
      <c r="F30" s="39">
        <v>400</v>
      </c>
      <c r="G30" s="40" t="s">
        <v>52</v>
      </c>
      <c r="H30" s="41">
        <v>30</v>
      </c>
    </row>
    <row r="31" spans="1:8" x14ac:dyDescent="0.2">
      <c r="A31" s="134" t="s">
        <v>78</v>
      </c>
      <c r="B31" s="134"/>
      <c r="C31" s="148" t="s">
        <v>74</v>
      </c>
      <c r="D31" s="148"/>
      <c r="E31" s="148"/>
      <c r="F31" s="148"/>
      <c r="G31" s="148"/>
      <c r="H31" s="148"/>
    </row>
    <row r="32" spans="1:8" ht="13.5" thickBot="1" x14ac:dyDescent="0.25">
      <c r="A32" s="78"/>
      <c r="B32" s="78"/>
      <c r="C32" s="149"/>
      <c r="D32" s="149"/>
      <c r="E32" s="149"/>
      <c r="F32" s="149"/>
      <c r="G32" s="149"/>
      <c r="H32" s="149"/>
    </row>
    <row r="33" spans="1:8" ht="13.5" thickBot="1" x14ac:dyDescent="0.25">
      <c r="A33" s="76" t="s">
        <v>75</v>
      </c>
      <c r="B33" s="77"/>
      <c r="C33" s="77"/>
      <c r="D33" s="77"/>
      <c r="E33" s="38" t="s">
        <v>41</v>
      </c>
      <c r="F33" s="39">
        <v>140</v>
      </c>
      <c r="G33" s="40" t="s">
        <v>52</v>
      </c>
      <c r="H33" s="41">
        <v>10</v>
      </c>
    </row>
    <row r="34" spans="1:8" x14ac:dyDescent="0.2">
      <c r="A34" s="78" t="s">
        <v>77</v>
      </c>
      <c r="B34" s="78"/>
      <c r="C34" s="149" t="s">
        <v>76</v>
      </c>
      <c r="D34" s="149"/>
      <c r="E34" s="149"/>
      <c r="F34" s="149"/>
      <c r="G34" s="149"/>
      <c r="H34" s="149"/>
    </row>
    <row r="35" spans="1:8" x14ac:dyDescent="0.2">
      <c r="A35" s="154"/>
      <c r="B35" s="154"/>
      <c r="C35" s="152"/>
      <c r="D35" s="152"/>
      <c r="E35" s="152"/>
      <c r="F35" s="152"/>
      <c r="G35" s="152"/>
      <c r="H35" s="152"/>
    </row>
    <row r="36" spans="1:8" x14ac:dyDescent="0.2">
      <c r="A36" s="154"/>
      <c r="B36" s="154"/>
      <c r="C36" s="153"/>
      <c r="D36" s="153"/>
      <c r="E36" s="153"/>
      <c r="F36" s="153"/>
      <c r="G36" s="153"/>
      <c r="H36" s="153"/>
    </row>
    <row r="37" spans="1:8" ht="15.75" x14ac:dyDescent="0.2">
      <c r="A37" s="154"/>
      <c r="B37" s="154"/>
      <c r="C37" s="67" t="s">
        <v>82</v>
      </c>
      <c r="D37" s="68"/>
      <c r="E37" s="68"/>
      <c r="F37" s="68"/>
      <c r="G37" s="68"/>
      <c r="H37" s="69"/>
    </row>
    <row r="38" spans="1:8" ht="15.75" x14ac:dyDescent="0.2">
      <c r="A38" s="154"/>
      <c r="B38" s="154"/>
      <c r="C38" s="67" t="s">
        <v>80</v>
      </c>
      <c r="D38" s="68"/>
      <c r="E38" s="68"/>
      <c r="F38" s="68"/>
      <c r="G38" s="68"/>
      <c r="H38" s="69"/>
    </row>
    <row r="39" spans="1:8" ht="15.75" x14ac:dyDescent="0.2">
      <c r="A39" s="154"/>
      <c r="B39" s="154"/>
      <c r="C39" s="67" t="s">
        <v>81</v>
      </c>
      <c r="D39" s="68"/>
      <c r="E39" s="68"/>
      <c r="F39" s="68"/>
      <c r="G39" s="68"/>
      <c r="H39" s="69"/>
    </row>
    <row r="40" spans="1:8" x14ac:dyDescent="0.2">
      <c r="A40" s="48" t="s">
        <v>51</v>
      </c>
      <c r="B40" s="49"/>
      <c r="C40" s="49"/>
      <c r="D40" s="49"/>
      <c r="E40" s="49"/>
      <c r="F40" s="49"/>
      <c r="G40" s="49"/>
      <c r="H40" s="50"/>
    </row>
    <row r="41" spans="1:8" x14ac:dyDescent="0.2">
      <c r="A41" s="42" t="s">
        <v>83</v>
      </c>
      <c r="B41" s="43"/>
      <c r="C41" s="43"/>
      <c r="D41" s="43"/>
      <c r="E41" s="43"/>
      <c r="F41" s="43"/>
      <c r="G41" s="43"/>
      <c r="H41" s="44"/>
    </row>
    <row r="42" spans="1:8" x14ac:dyDescent="0.2">
      <c r="A42" s="42"/>
      <c r="B42" s="43"/>
      <c r="C42" s="43"/>
      <c r="D42" s="43"/>
      <c r="E42" s="43"/>
      <c r="F42" s="43"/>
      <c r="G42" s="43"/>
      <c r="H42" s="44"/>
    </row>
    <row r="43" spans="1:8" x14ac:dyDescent="0.2">
      <c r="A43" s="42"/>
      <c r="B43" s="43"/>
      <c r="C43" s="43"/>
      <c r="D43" s="43"/>
      <c r="E43" s="43"/>
      <c r="F43" s="43"/>
      <c r="G43" s="43"/>
      <c r="H43" s="44"/>
    </row>
    <row r="44" spans="1:8" x14ac:dyDescent="0.2">
      <c r="A44" s="42"/>
      <c r="B44" s="43"/>
      <c r="C44" s="43"/>
      <c r="D44" s="43"/>
      <c r="E44" s="43"/>
      <c r="F44" s="43"/>
      <c r="G44" s="43"/>
      <c r="H44" s="44"/>
    </row>
    <row r="45" spans="1:8" x14ac:dyDescent="0.2">
      <c r="A45" s="42"/>
      <c r="B45" s="43"/>
      <c r="C45" s="43"/>
      <c r="D45" s="43"/>
      <c r="E45" s="43"/>
      <c r="F45" s="43"/>
      <c r="G45" s="43"/>
      <c r="H45" s="44"/>
    </row>
    <row r="46" spans="1:8" x14ac:dyDescent="0.2">
      <c r="A46" s="42"/>
      <c r="B46" s="43"/>
      <c r="C46" s="43"/>
      <c r="D46" s="43"/>
      <c r="E46" s="43"/>
      <c r="F46" s="43"/>
      <c r="G46" s="43"/>
      <c r="H46" s="44"/>
    </row>
    <row r="47" spans="1:8" x14ac:dyDescent="0.2">
      <c r="A47" s="42"/>
      <c r="B47" s="43"/>
      <c r="C47" s="43"/>
      <c r="D47" s="43"/>
      <c r="E47" s="43"/>
      <c r="F47" s="43"/>
      <c r="G47" s="43"/>
      <c r="H47" s="44"/>
    </row>
    <row r="48" spans="1:8" ht="12.75" customHeight="1" x14ac:dyDescent="0.2">
      <c r="A48" s="42"/>
      <c r="B48" s="43"/>
      <c r="C48" s="43"/>
      <c r="D48" s="43"/>
      <c r="E48" s="43"/>
      <c r="F48" s="43"/>
      <c r="G48" s="43"/>
      <c r="H48" s="44"/>
    </row>
    <row r="49" spans="1:23" ht="5.25" customHeight="1" x14ac:dyDescent="0.2">
      <c r="A49" s="42"/>
      <c r="B49" s="43"/>
      <c r="C49" s="43"/>
      <c r="D49" s="43"/>
      <c r="E49" s="43"/>
      <c r="F49" s="43"/>
      <c r="G49" s="43"/>
      <c r="H49" s="44"/>
    </row>
    <row r="50" spans="1:23" ht="12.75" hidden="1" customHeight="1" x14ac:dyDescent="0.2">
      <c r="A50" s="42"/>
      <c r="B50" s="43"/>
      <c r="C50" s="43"/>
      <c r="D50" s="43"/>
      <c r="E50" s="43"/>
      <c r="F50" s="43"/>
      <c r="G50" s="43"/>
      <c r="H50" s="44"/>
    </row>
    <row r="51" spans="1:23" ht="12.75" hidden="1" customHeight="1" x14ac:dyDescent="0.2">
      <c r="A51" s="42"/>
      <c r="B51" s="43"/>
      <c r="C51" s="43"/>
      <c r="D51" s="43"/>
      <c r="E51" s="43"/>
      <c r="F51" s="43"/>
      <c r="G51" s="43"/>
      <c r="H51" s="44"/>
    </row>
    <row r="52" spans="1:23" x14ac:dyDescent="0.2">
      <c r="A52" s="45"/>
      <c r="B52" s="46"/>
      <c r="C52" s="46"/>
      <c r="D52" s="46"/>
      <c r="E52" s="46"/>
      <c r="F52" s="46"/>
      <c r="G52" s="46"/>
      <c r="H52" s="47"/>
    </row>
    <row r="53" spans="1:23" x14ac:dyDescent="0.2">
      <c r="A53" s="2"/>
      <c r="B53" s="2"/>
      <c r="C53" s="2"/>
      <c r="D53" s="2"/>
      <c r="E53" s="2"/>
      <c r="F53" s="2"/>
      <c r="G53" s="2"/>
      <c r="H53" s="2"/>
    </row>
    <row r="54" spans="1:23" ht="28.5" customHeight="1" x14ac:dyDescent="0.2">
      <c r="A54" s="5" t="s">
        <v>15</v>
      </c>
      <c r="B54" s="6" t="s">
        <v>16</v>
      </c>
      <c r="C54" s="7" t="s">
        <v>17</v>
      </c>
      <c r="D54" s="6" t="s">
        <v>18</v>
      </c>
      <c r="E54" s="8" t="s">
        <v>20</v>
      </c>
      <c r="F54" s="6" t="s">
        <v>21</v>
      </c>
      <c r="G54" s="6" t="s">
        <v>39</v>
      </c>
      <c r="H54" s="9" t="s">
        <v>22</v>
      </c>
      <c r="I54" s="22" t="s">
        <v>23</v>
      </c>
      <c r="J54" s="23" t="s">
        <v>24</v>
      </c>
      <c r="K54" s="23" t="s">
        <v>25</v>
      </c>
      <c r="L54" s="11" t="s">
        <v>26</v>
      </c>
      <c r="M54" s="11" t="s">
        <v>27</v>
      </c>
      <c r="N54" s="10" t="s">
        <v>28</v>
      </c>
      <c r="O54" s="10" t="s">
        <v>29</v>
      </c>
      <c r="P54" s="12" t="s">
        <v>30</v>
      </c>
      <c r="Q54" s="13" t="s">
        <v>31</v>
      </c>
      <c r="R54" s="13" t="s">
        <v>32</v>
      </c>
      <c r="S54" s="14" t="s">
        <v>33</v>
      </c>
      <c r="T54" s="6" t="s">
        <v>19</v>
      </c>
      <c r="U54" s="13" t="s">
        <v>0</v>
      </c>
      <c r="V54" s="13" t="s">
        <v>34</v>
      </c>
      <c r="W54" s="13" t="s">
        <v>38</v>
      </c>
    </row>
    <row r="55" spans="1:23" x14ac:dyDescent="0.2">
      <c r="A55" s="24" t="str">
        <f>IF(F3="","",F3)</f>
        <v>ALEX</v>
      </c>
      <c r="B55" s="37">
        <f>IF(H3="","",H3)</f>
        <v>44651</v>
      </c>
      <c r="C55" s="24">
        <f>IF(H2="","",H2)</f>
        <v>107971</v>
      </c>
      <c r="D55" s="24" t="str">
        <f>IF(C5="","",C5)</f>
        <v>CITE SCOLAIRE JEANNE D'ARC</v>
      </c>
      <c r="E55" s="24" t="str">
        <f>IF(C12="","",C12)</f>
        <v>M.</v>
      </c>
      <c r="F55" s="24" t="str">
        <f>IF(D12="","",D12)</f>
        <v>Raphaël ORTEGA</v>
      </c>
      <c r="G55" s="25" t="str">
        <f>IF(C3="","",C3)</f>
        <v>CL</v>
      </c>
      <c r="H55" s="26"/>
      <c r="I55" s="25"/>
      <c r="J55" s="27"/>
      <c r="K55" s="27"/>
      <c r="L55" s="26"/>
      <c r="M55" s="26"/>
      <c r="N55" s="28"/>
      <c r="O55" s="24"/>
      <c r="P55" s="24"/>
      <c r="Q55" s="24" t="str">
        <f>IF(C6="","",C6)</f>
        <v>29 RUE DU PRESIDENT COTY</v>
      </c>
      <c r="R55" s="24" t="str">
        <f>IF(G6="","",G6)</f>
        <v/>
      </c>
      <c r="S55" s="15">
        <f>C7</f>
        <v>73200</v>
      </c>
      <c r="T55" s="16" t="str">
        <f>D7</f>
        <v>ALBERTVILLE</v>
      </c>
      <c r="U55" s="19" t="str">
        <f>IF(C14="",C8,C14)</f>
        <v>04 79 31 12 28</v>
      </c>
      <c r="V55" s="19" t="str">
        <f>IF(G14="","",G14)</f>
        <v/>
      </c>
      <c r="W55" s="19" t="str">
        <f>IF(C15="","",C15)</f>
        <v>direction@spt.education</v>
      </c>
    </row>
  </sheetData>
  <sheetProtection formatCells="0" formatColumns="0" formatRows="0" deleteRows="0" selectLockedCells="1" selectUnlockedCells="1"/>
  <mergeCells count="70">
    <mergeCell ref="C39:H39"/>
    <mergeCell ref="A35:B35"/>
    <mergeCell ref="A36:B36"/>
    <mergeCell ref="A37:B37"/>
    <mergeCell ref="A38:B38"/>
    <mergeCell ref="A39:B39"/>
    <mergeCell ref="C34:H34"/>
    <mergeCell ref="C35:H35"/>
    <mergeCell ref="C36:H36"/>
    <mergeCell ref="C37:H37"/>
    <mergeCell ref="C38:H38"/>
    <mergeCell ref="A31:B31"/>
    <mergeCell ref="A32:B32"/>
    <mergeCell ref="G9:H9"/>
    <mergeCell ref="A26:B26"/>
    <mergeCell ref="C25:H25"/>
    <mergeCell ref="A18:H21"/>
    <mergeCell ref="A23:D23"/>
    <mergeCell ref="A24:B24"/>
    <mergeCell ref="C31:H31"/>
    <mergeCell ref="C32:H32"/>
    <mergeCell ref="G12:H12"/>
    <mergeCell ref="A33:D33"/>
    <mergeCell ref="A1:H1"/>
    <mergeCell ref="A15:B15"/>
    <mergeCell ref="A2:D2"/>
    <mergeCell ref="A4:H4"/>
    <mergeCell ref="A5:B5"/>
    <mergeCell ref="C5:H5"/>
    <mergeCell ref="A9:B9"/>
    <mergeCell ref="A10:B10"/>
    <mergeCell ref="C10:H10"/>
    <mergeCell ref="G14:H14"/>
    <mergeCell ref="E2:G2"/>
    <mergeCell ref="A3:B3"/>
    <mergeCell ref="A6:B7"/>
    <mergeCell ref="G6:H6"/>
    <mergeCell ref="C15:H15"/>
    <mergeCell ref="C3:D3"/>
    <mergeCell ref="D7:H7"/>
    <mergeCell ref="D12:E12"/>
    <mergeCell ref="C6:F6"/>
    <mergeCell ref="C29:H29"/>
    <mergeCell ref="C24:H24"/>
    <mergeCell ref="C16:H16"/>
    <mergeCell ref="A17:H17"/>
    <mergeCell ref="A22:H22"/>
    <mergeCell ref="A27:B27"/>
    <mergeCell ref="C27:H27"/>
    <mergeCell ref="A25:B25"/>
    <mergeCell ref="G8:H8"/>
    <mergeCell ref="A8:B8"/>
    <mergeCell ref="C9:E9"/>
    <mergeCell ref="C8:E8"/>
    <mergeCell ref="A41:H52"/>
    <mergeCell ref="A40:H40"/>
    <mergeCell ref="A29:B29"/>
    <mergeCell ref="A11:H11"/>
    <mergeCell ref="D13:E13"/>
    <mergeCell ref="G13:H13"/>
    <mergeCell ref="A12:B13"/>
    <mergeCell ref="F12:F13"/>
    <mergeCell ref="A28:B28"/>
    <mergeCell ref="C28:H28"/>
    <mergeCell ref="A14:B14"/>
    <mergeCell ref="C26:H26"/>
    <mergeCell ref="A16:B16"/>
    <mergeCell ref="C14:E14"/>
    <mergeCell ref="A30:D30"/>
    <mergeCell ref="A34:B34"/>
  </mergeCells>
  <phoneticPr fontId="1" type="noConversion"/>
  <hyperlinks>
    <hyperlink ref="C15" r:id="rId1" xr:uid="{07A72B14-29F2-4094-9CDF-FB47132356A2}"/>
    <hyperlink ref="C16" r:id="rId2" xr:uid="{EFAE6264-7923-4CBF-9E09-325F6EE6CF2B}"/>
  </hyperlinks>
  <printOptions horizontalCentered="1" verticalCentered="1"/>
  <pageMargins left="0.19685039370078741" right="0.19685039370078741" top="0" bottom="0" header="0" footer="0.51181102362204722"/>
  <pageSetup paperSize="9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Feuil2</vt:lpstr>
      <vt:lpstr>Feuil3</vt:lpstr>
      <vt:lpstr>Feuil2!Zone_d_impression</vt:lpstr>
    </vt:vector>
  </TitlesOfParts>
  <Company>AMIPEQ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Poste2</dc:creator>
  <cp:lastModifiedBy>AMIPEQ</cp:lastModifiedBy>
  <cp:lastPrinted>2022-04-01T07:04:36Z</cp:lastPrinted>
  <dcterms:created xsi:type="dcterms:W3CDTF">2006-05-09T09:35:21Z</dcterms:created>
  <dcterms:modified xsi:type="dcterms:W3CDTF">2025-12-10T14:39:03Z</dcterms:modified>
</cp:coreProperties>
</file>